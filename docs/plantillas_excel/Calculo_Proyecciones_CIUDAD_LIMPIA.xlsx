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cion Lla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3A8A"/>
      <sz val="11"/>
    </font>
    <font>
      <name val="Calibri"/>
      <b val="1"/>
      <color rgb="00047857"/>
      <sz val="12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3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3" fillId="0" borderId="2" applyAlignment="1" pivotButton="0" quotePrefix="0" xfId="0">
      <alignment horizontal="right"/>
    </xf>
    <xf numFmtId="3" fontId="4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5" customWidth="1" min="3" max="3"/>
    <col width="14" customWidth="1" min="4" max="4"/>
    <col width="15" customWidth="1" min="5" max="5"/>
    <col width="14" customWidth="1" min="6" max="6"/>
    <col width="17" customWidth="1" min="7" max="7"/>
    <col width="18" customWidth="1" min="8" max="8"/>
    <col width="21" customWidth="1" min="9" max="9"/>
    <col width="13" customWidth="1" min="10" max="10"/>
    <col width="16" customWidth="1" min="11" max="11"/>
    <col width="13" customWidth="1" min="12" max="12"/>
    <col width="14" customWidth="1" min="13" max="13"/>
    <col width="20" customWidth="1" min="14" max="14"/>
    <col width="41" customWidth="1" min="15" max="15"/>
    <col width="29" customWidth="1" min="16" max="16"/>
    <col width="36" customWidth="1" min="17" max="17"/>
  </cols>
  <sheetData>
    <row r="1">
      <c r="A1" s="1" t="inlineStr">
        <is>
          <t>Placa</t>
        </is>
      </c>
      <c r="B1" s="1" t="inlineStr">
        <is>
          <t>Pos</t>
        </is>
      </c>
      <c r="C1" s="1" t="inlineStr">
        <is>
          <t>No. Interno</t>
        </is>
      </c>
      <c r="D1" s="1" t="inlineStr">
        <is>
          <t>P.Ext (mm)</t>
        </is>
      </c>
      <c r="E1" s="1" t="inlineStr">
        <is>
          <t>P.Cent (mm)</t>
        </is>
      </c>
      <c r="F1" s="1" t="inlineStr">
        <is>
          <t>P.Int (mm)</t>
        </is>
      </c>
      <c r="G1" s="1" t="inlineStr">
        <is>
          <t>P.Minima (mm)</t>
        </is>
      </c>
      <c r="H1" s="1" t="inlineStr">
        <is>
          <t>P.Inicial (mm)</t>
        </is>
      </c>
      <c r="I1" s="1" t="inlineStr">
        <is>
          <t>Limite (mm)</t>
        </is>
      </c>
      <c r="J1" s="1" t="inlineStr">
        <is>
          <t>mm Utiles</t>
        </is>
      </c>
      <c r="K1" s="1" t="inlineStr">
        <is>
          <t>Desgaste Δmm</t>
        </is>
      </c>
      <c r="L1" s="1" t="inlineStr">
        <is>
          <t>Km Actual</t>
        </is>
      </c>
      <c r="M1" s="1" t="inlineStr">
        <is>
          <t>Km Montaje</t>
        </is>
      </c>
      <c r="N1" s="1" t="inlineStr">
        <is>
          <t>Km Rodados</t>
        </is>
      </c>
      <c r="O1" s="1" t="inlineStr">
        <is>
          <t>¿Asentamiento?</t>
        </is>
      </c>
      <c r="P1" s="1" t="inlineStr">
        <is>
          <t>Rendimiento (Km/mm)</t>
        </is>
      </c>
      <c r="Q1" s="1" t="inlineStr">
        <is>
          <t>Proyeccion Total (km)</t>
        </is>
      </c>
    </row>
    <row r="2">
      <c r="A2" s="2" t="n">
        <v>3032</v>
      </c>
      <c r="B2" s="2" t="n">
        <v>1</v>
      </c>
      <c r="C2" s="2" t="inlineStr">
        <is>
          <t>CL4464</t>
        </is>
      </c>
      <c r="D2" s="3" t="n">
        <v>18</v>
      </c>
      <c r="E2" s="3" t="n">
        <v>19</v>
      </c>
      <c r="F2" s="3" t="n">
        <v>19</v>
      </c>
      <c r="G2" s="3">
        <f>MIN(D2:F2)</f>
        <v/>
      </c>
      <c r="H2" s="3" t="n">
        <v>19</v>
      </c>
      <c r="I2" s="3">
        <f>IF(B2&lt;=2, 4, 3)</f>
        <v/>
      </c>
      <c r="J2" s="3">
        <f>H2-I2</f>
        <v/>
      </c>
      <c r="K2" s="3">
        <f>H2-G2</f>
        <v/>
      </c>
      <c r="L2" s="4" t="n">
        <v>32192</v>
      </c>
      <c r="M2" s="4" t="n">
        <v>22603</v>
      </c>
      <c r="N2" s="4">
        <f>L2-M2</f>
        <v/>
      </c>
      <c r="O2" s="2">
        <f>IF(OR(K2&lt;0.5, N2&lt;500), "SI", "NO")</f>
        <v/>
      </c>
      <c r="P2" s="4">
        <f>IF(O2="SI", 0, N2/K2)</f>
        <v/>
      </c>
      <c r="Q2" s="4">
        <f>IF(O2="SI", 0, P2*J2)</f>
        <v/>
      </c>
    </row>
    <row r="3">
      <c r="A3" s="2" t="n">
        <v>3032</v>
      </c>
      <c r="B3" s="2" t="n">
        <v>2</v>
      </c>
      <c r="C3" s="2" t="inlineStr">
        <is>
          <t>CL4465</t>
        </is>
      </c>
      <c r="D3" s="3" t="n">
        <v>18</v>
      </c>
      <c r="E3" s="3" t="n">
        <v>19</v>
      </c>
      <c r="F3" s="3" t="n">
        <v>19</v>
      </c>
      <c r="G3" s="3">
        <f>MIN(D3:F3)</f>
        <v/>
      </c>
      <c r="H3" s="3" t="n">
        <v>19</v>
      </c>
      <c r="I3" s="3">
        <f>IF(B3&lt;=2, 4, 3)</f>
        <v/>
      </c>
      <c r="J3" s="3">
        <f>H3-I3</f>
        <v/>
      </c>
      <c r="K3" s="3">
        <f>H3-G3</f>
        <v/>
      </c>
      <c r="L3" s="4" t="n">
        <v>32192</v>
      </c>
      <c r="M3" s="4" t="n">
        <v>22603</v>
      </c>
      <c r="N3" s="4">
        <f>L3-M3</f>
        <v/>
      </c>
      <c r="O3" s="2">
        <f>IF(OR(K3&lt;0.5, N3&lt;500), "SI", "NO")</f>
        <v/>
      </c>
      <c r="P3" s="4">
        <f>IF(O3="SI", 0, N3/K3)</f>
        <v/>
      </c>
      <c r="Q3" s="4">
        <f>IF(O3="SI", 0, P3*J3)</f>
        <v/>
      </c>
    </row>
    <row r="4">
      <c r="A4" s="2" t="n">
        <v>3032</v>
      </c>
      <c r="B4" s="2" t="n">
        <v>3</v>
      </c>
      <c r="C4" s="2" t="inlineStr">
        <is>
          <t>CL4522</t>
        </is>
      </c>
      <c r="D4" s="3" t="n">
        <v>22</v>
      </c>
      <c r="E4" s="3" t="n">
        <v>23</v>
      </c>
      <c r="F4" s="3" t="n">
        <v>23</v>
      </c>
      <c r="G4" s="3">
        <f>MIN(D4:F4)</f>
        <v/>
      </c>
      <c r="H4" s="3" t="n">
        <v>23</v>
      </c>
      <c r="I4" s="3">
        <f>IF(B4&lt;=2, 4, 3)</f>
        <v/>
      </c>
      <c r="J4" s="3">
        <f>H4-I4</f>
        <v/>
      </c>
      <c r="K4" s="3">
        <f>H4-G4</f>
        <v/>
      </c>
      <c r="L4" s="4" t="n">
        <v>32192</v>
      </c>
      <c r="M4" s="4" t="n">
        <v>25536</v>
      </c>
      <c r="N4" s="4">
        <f>L4-M4</f>
        <v/>
      </c>
      <c r="O4" s="2">
        <f>IF(OR(K4&lt;0.5, N4&lt;500), "SI", "NO")</f>
        <v/>
      </c>
      <c r="P4" s="4">
        <f>IF(O4="SI", 0, N4/K4)</f>
        <v/>
      </c>
      <c r="Q4" s="4">
        <f>IF(O4="SI", 0, P4*J4)</f>
        <v/>
      </c>
    </row>
    <row r="5">
      <c r="A5" s="2" t="n">
        <v>3032</v>
      </c>
      <c r="B5" s="2" t="n">
        <v>4</v>
      </c>
      <c r="C5" s="2" t="inlineStr">
        <is>
          <t>CL4523</t>
        </is>
      </c>
      <c r="D5" s="3" t="n">
        <v>22</v>
      </c>
      <c r="E5" s="3" t="n">
        <v>23</v>
      </c>
      <c r="F5" s="3" t="n">
        <v>23</v>
      </c>
      <c r="G5" s="3">
        <f>MIN(D5:F5)</f>
        <v/>
      </c>
      <c r="H5" s="3" t="n">
        <v>23</v>
      </c>
      <c r="I5" s="3">
        <f>IF(B5&lt;=2, 4, 3)</f>
        <v/>
      </c>
      <c r="J5" s="3">
        <f>H5-I5</f>
        <v/>
      </c>
      <c r="K5" s="3">
        <f>H5-G5</f>
        <v/>
      </c>
      <c r="L5" s="4" t="n">
        <v>32192</v>
      </c>
      <c r="M5" s="4" t="n">
        <v>25536</v>
      </c>
      <c r="N5" s="4">
        <f>L5-M5</f>
        <v/>
      </c>
      <c r="O5" s="2">
        <f>IF(OR(K5&lt;0.5, N5&lt;500), "SI", "NO")</f>
        <v/>
      </c>
      <c r="P5" s="4">
        <f>IF(O5="SI", 0, N5/K5)</f>
        <v/>
      </c>
      <c r="Q5" s="4">
        <f>IF(O5="SI", 0, P5*J5)</f>
        <v/>
      </c>
    </row>
    <row r="6">
      <c r="A6" s="2" t="n">
        <v>3032</v>
      </c>
      <c r="B6" s="2" t="n">
        <v>5</v>
      </c>
      <c r="C6" s="2" t="inlineStr">
        <is>
          <t>CL4524</t>
        </is>
      </c>
      <c r="D6" s="3" t="n">
        <v>22</v>
      </c>
      <c r="E6" s="3" t="n">
        <v>23</v>
      </c>
      <c r="F6" s="3" t="n">
        <v>23</v>
      </c>
      <c r="G6" s="3">
        <f>MIN(D6:F6)</f>
        <v/>
      </c>
      <c r="H6" s="3" t="n">
        <v>23</v>
      </c>
      <c r="I6" s="3">
        <f>IF(B6&lt;=2, 4, 3)</f>
        <v/>
      </c>
      <c r="J6" s="3">
        <f>H6-I6</f>
        <v/>
      </c>
      <c r="K6" s="3">
        <f>H6-G6</f>
        <v/>
      </c>
      <c r="L6" s="4" t="n">
        <v>32192</v>
      </c>
      <c r="M6" s="4" t="n">
        <v>25536</v>
      </c>
      <c r="N6" s="4">
        <f>L6-M6</f>
        <v/>
      </c>
      <c r="O6" s="2">
        <f>IF(OR(K6&lt;0.5, N6&lt;500), "SI", "NO")</f>
        <v/>
      </c>
      <c r="P6" s="4">
        <f>IF(O6="SI", 0, N6/K6)</f>
        <v/>
      </c>
      <c r="Q6" s="4">
        <f>IF(O6="SI", 0, P6*J6)</f>
        <v/>
      </c>
    </row>
    <row r="7">
      <c r="A7" s="2" t="n">
        <v>3032</v>
      </c>
      <c r="B7" s="2" t="n">
        <v>6</v>
      </c>
      <c r="C7" s="2" t="inlineStr">
        <is>
          <t>CL4525</t>
        </is>
      </c>
      <c r="D7" s="3" t="n">
        <v>22</v>
      </c>
      <c r="E7" s="3" t="n">
        <v>23</v>
      </c>
      <c r="F7" s="3" t="n">
        <v>23</v>
      </c>
      <c r="G7" s="3">
        <f>MIN(D7:F7)</f>
        <v/>
      </c>
      <c r="H7" s="3" t="n">
        <v>23</v>
      </c>
      <c r="I7" s="3">
        <f>IF(B7&lt;=2, 4, 3)</f>
        <v/>
      </c>
      <c r="J7" s="3">
        <f>H7-I7</f>
        <v/>
      </c>
      <c r="K7" s="3">
        <f>H7-G7</f>
        <v/>
      </c>
      <c r="L7" s="4" t="n">
        <v>32192</v>
      </c>
      <c r="M7" s="4" t="n">
        <v>25536</v>
      </c>
      <c r="N7" s="4">
        <f>L7-M7</f>
        <v/>
      </c>
      <c r="O7" s="2">
        <f>IF(OR(K7&lt;0.5, N7&lt;500), "SI", "NO")</f>
        <v/>
      </c>
      <c r="P7" s="4">
        <f>IF(O7="SI", 0, N7/K7)</f>
        <v/>
      </c>
      <c r="Q7" s="4">
        <f>IF(O7="SI", 0, P7*J7)</f>
        <v/>
      </c>
    </row>
    <row r="8">
      <c r="A8" s="2" t="n">
        <v>3032</v>
      </c>
      <c r="B8" s="2" t="n">
        <v>7</v>
      </c>
      <c r="C8" s="2" t="inlineStr">
        <is>
          <t>CL4526</t>
        </is>
      </c>
      <c r="D8" s="3" t="n">
        <v>22</v>
      </c>
      <c r="E8" s="3" t="n">
        <v>23</v>
      </c>
      <c r="F8" s="3" t="n">
        <v>23</v>
      </c>
      <c r="G8" s="3">
        <f>MIN(D8:F8)</f>
        <v/>
      </c>
      <c r="H8" s="3" t="n">
        <v>23</v>
      </c>
      <c r="I8" s="3">
        <f>IF(B8&lt;=2, 4, 3)</f>
        <v/>
      </c>
      <c r="J8" s="3">
        <f>H8-I8</f>
        <v/>
      </c>
      <c r="K8" s="3">
        <f>H8-G8</f>
        <v/>
      </c>
      <c r="L8" s="4" t="n">
        <v>32192</v>
      </c>
      <c r="M8" s="4" t="n">
        <v>25536</v>
      </c>
      <c r="N8" s="4">
        <f>L8-M8</f>
        <v/>
      </c>
      <c r="O8" s="2">
        <f>IF(OR(K8&lt;0.5, N8&lt;500), "SI", "NO")</f>
        <v/>
      </c>
      <c r="P8" s="4">
        <f>IF(O8="SI", 0, N8/K8)</f>
        <v/>
      </c>
      <c r="Q8" s="4">
        <f>IF(O8="SI", 0, P8*J8)</f>
        <v/>
      </c>
    </row>
    <row r="9">
      <c r="A9" s="2" t="n">
        <v>3032</v>
      </c>
      <c r="B9" s="2" t="n">
        <v>8</v>
      </c>
      <c r="C9" s="2" t="inlineStr">
        <is>
          <t>CL4527</t>
        </is>
      </c>
      <c r="D9" s="3" t="n">
        <v>22</v>
      </c>
      <c r="E9" s="3" t="n">
        <v>23</v>
      </c>
      <c r="F9" s="3" t="n">
        <v>23</v>
      </c>
      <c r="G9" s="3">
        <f>MIN(D9:F9)</f>
        <v/>
      </c>
      <c r="H9" s="3" t="n">
        <v>23</v>
      </c>
      <c r="I9" s="3">
        <f>IF(B9&lt;=2, 4, 3)</f>
        <v/>
      </c>
      <c r="J9" s="3">
        <f>H9-I9</f>
        <v/>
      </c>
      <c r="K9" s="3">
        <f>H9-G9</f>
        <v/>
      </c>
      <c r="L9" s="4" t="n">
        <v>32192</v>
      </c>
      <c r="M9" s="4" t="n">
        <v>25536</v>
      </c>
      <c r="N9" s="4">
        <f>L9-M9</f>
        <v/>
      </c>
      <c r="O9" s="2">
        <f>IF(OR(K9&lt;0.5, N9&lt;500), "SI", "NO")</f>
        <v/>
      </c>
      <c r="P9" s="4">
        <f>IF(O9="SI", 0, N9/K9)</f>
        <v/>
      </c>
      <c r="Q9" s="4">
        <f>IF(O9="SI", 0, P9*J9)</f>
        <v/>
      </c>
    </row>
    <row r="10">
      <c r="A10" s="2" t="n">
        <v>3032</v>
      </c>
      <c r="B10" s="2" t="n">
        <v>9</v>
      </c>
      <c r="C10" s="2" t="inlineStr">
        <is>
          <t>CL4528</t>
        </is>
      </c>
      <c r="D10" s="3" t="n">
        <v>22</v>
      </c>
      <c r="E10" s="3" t="n">
        <v>23</v>
      </c>
      <c r="F10" s="3" t="n">
        <v>23</v>
      </c>
      <c r="G10" s="3">
        <f>MIN(D10:F10)</f>
        <v/>
      </c>
      <c r="H10" s="3" t="n">
        <v>23</v>
      </c>
      <c r="I10" s="3">
        <f>IF(B10&lt;=2, 4, 3)</f>
        <v/>
      </c>
      <c r="J10" s="3">
        <f>H10-I10</f>
        <v/>
      </c>
      <c r="K10" s="3">
        <f>H10-G10</f>
        <v/>
      </c>
      <c r="L10" s="4" t="n">
        <v>32192</v>
      </c>
      <c r="M10" s="4" t="n">
        <v>25536</v>
      </c>
      <c r="N10" s="4">
        <f>L10-M10</f>
        <v/>
      </c>
      <c r="O10" s="2">
        <f>IF(OR(K10&lt;0.5, N10&lt;500), "SI", "NO")</f>
        <v/>
      </c>
      <c r="P10" s="4">
        <f>IF(O10="SI", 0, N10/K10)</f>
        <v/>
      </c>
      <c r="Q10" s="4">
        <f>IF(O10="SI", 0, P10*J10)</f>
        <v/>
      </c>
    </row>
    <row r="11">
      <c r="A11" s="2" t="n">
        <v>3032</v>
      </c>
      <c r="B11" s="2" t="n">
        <v>10</v>
      </c>
      <c r="C11" s="2" t="inlineStr">
        <is>
          <t>CL4529</t>
        </is>
      </c>
      <c r="D11" s="3" t="n">
        <v>22</v>
      </c>
      <c r="E11" s="3" t="n">
        <v>23</v>
      </c>
      <c r="F11" s="3" t="n">
        <v>23</v>
      </c>
      <c r="G11" s="3">
        <f>MIN(D11:F11)</f>
        <v/>
      </c>
      <c r="H11" s="3" t="n">
        <v>23</v>
      </c>
      <c r="I11" s="3">
        <f>IF(B11&lt;=2, 4, 3)</f>
        <v/>
      </c>
      <c r="J11" s="3">
        <f>H11-I11</f>
        <v/>
      </c>
      <c r="K11" s="3">
        <f>H11-G11</f>
        <v/>
      </c>
      <c r="L11" s="4" t="n">
        <v>32192</v>
      </c>
      <c r="M11" s="4" t="n">
        <v>25536</v>
      </c>
      <c r="N11" s="4">
        <f>L11-M11</f>
        <v/>
      </c>
      <c r="O11" s="2">
        <f>IF(OR(K11&lt;0.5, N11&lt;500), "SI", "NO")</f>
        <v/>
      </c>
      <c r="P11" s="4">
        <f>IF(O11="SI", 0, N11/K11)</f>
        <v/>
      </c>
      <c r="Q11" s="4">
        <f>IF(O11="SI", 0, P11*J11)</f>
        <v/>
      </c>
    </row>
    <row r="12">
      <c r="A12" s="2" t="n">
        <v>3035</v>
      </c>
      <c r="B12" s="2" t="n">
        <v>1</v>
      </c>
      <c r="C12" s="2" t="inlineStr">
        <is>
          <t>CL4478</t>
        </is>
      </c>
      <c r="D12" s="3" t="n">
        <v>18</v>
      </c>
      <c r="E12" s="3" t="n">
        <v>19</v>
      </c>
      <c r="F12" s="3" t="n">
        <v>19</v>
      </c>
      <c r="G12" s="3">
        <f>MIN(D12:F12)</f>
        <v/>
      </c>
      <c r="H12" s="3" t="n">
        <v>19</v>
      </c>
      <c r="I12" s="3">
        <f>IF(B12&lt;=2, 4, 3)</f>
        <v/>
      </c>
      <c r="J12" s="3">
        <f>H12-I12</f>
        <v/>
      </c>
      <c r="K12" s="3">
        <f>H12-G12</f>
        <v/>
      </c>
      <c r="L12" s="4" t="n">
        <v>34937</v>
      </c>
      <c r="M12" s="4" t="n">
        <v>26672</v>
      </c>
      <c r="N12" s="4">
        <f>L12-M12</f>
        <v/>
      </c>
      <c r="O12" s="2">
        <f>IF(OR(K12&lt;0.5, N12&lt;500), "SI", "NO")</f>
        <v/>
      </c>
      <c r="P12" s="4">
        <f>IF(O12="SI", 0, N12/K12)</f>
        <v/>
      </c>
      <c r="Q12" s="4">
        <f>IF(O12="SI", 0, P12*J12)</f>
        <v/>
      </c>
    </row>
    <row r="13">
      <c r="A13" s="2" t="n">
        <v>3035</v>
      </c>
      <c r="B13" s="2" t="n">
        <v>2</v>
      </c>
      <c r="C13" s="2" t="inlineStr">
        <is>
          <t>CL4479</t>
        </is>
      </c>
      <c r="D13" s="3" t="n">
        <v>18</v>
      </c>
      <c r="E13" s="3" t="n">
        <v>19</v>
      </c>
      <c r="F13" s="3" t="n">
        <v>19</v>
      </c>
      <c r="G13" s="3">
        <f>MIN(D13:F13)</f>
        <v/>
      </c>
      <c r="H13" s="3" t="n">
        <v>19</v>
      </c>
      <c r="I13" s="3">
        <f>IF(B13&lt;=2, 4, 3)</f>
        <v/>
      </c>
      <c r="J13" s="3">
        <f>H13-I13</f>
        <v/>
      </c>
      <c r="K13" s="3">
        <f>H13-G13</f>
        <v/>
      </c>
      <c r="L13" s="4" t="n">
        <v>34937</v>
      </c>
      <c r="M13" s="4" t="n">
        <v>26672</v>
      </c>
      <c r="N13" s="4">
        <f>L13-M13</f>
        <v/>
      </c>
      <c r="O13" s="2">
        <f>IF(OR(K13&lt;0.5, N13&lt;500), "SI", "NO")</f>
        <v/>
      </c>
      <c r="P13" s="4">
        <f>IF(O13="SI", 0, N13/K13)</f>
        <v/>
      </c>
      <c r="Q13" s="4">
        <f>IF(O13="SI", 0, P13*J13)</f>
        <v/>
      </c>
    </row>
    <row r="14">
      <c r="A14" s="2" t="n">
        <v>3035</v>
      </c>
      <c r="B14" s="2" t="n">
        <v>3</v>
      </c>
      <c r="C14" s="2" t="inlineStr">
        <is>
          <t>CL4209</t>
        </is>
      </c>
      <c r="D14" s="3" t="n">
        <v>19</v>
      </c>
      <c r="E14" s="3" t="n">
        <v>20</v>
      </c>
      <c r="F14" s="3" t="n">
        <v>20</v>
      </c>
      <c r="G14" s="3">
        <f>MIN(D14:F14)</f>
        <v/>
      </c>
      <c r="H14" s="3" t="n">
        <v>20</v>
      </c>
      <c r="I14" s="3">
        <f>IF(B14&lt;=2, 4, 3)</f>
        <v/>
      </c>
      <c r="J14" s="3">
        <f>H14-I14</f>
        <v/>
      </c>
      <c r="K14" s="3">
        <f>H14-G14</f>
        <v/>
      </c>
      <c r="L14" s="4" t="n">
        <v>34937</v>
      </c>
      <c r="M14" s="4" t="n">
        <v>29158</v>
      </c>
      <c r="N14" s="4">
        <f>L14-M14</f>
        <v/>
      </c>
      <c r="O14" s="2">
        <f>IF(OR(K14&lt;0.5, N14&lt;500), "SI", "NO")</f>
        <v/>
      </c>
      <c r="P14" s="4">
        <f>IF(O14="SI", 0, N14/K14)</f>
        <v/>
      </c>
      <c r="Q14" s="4">
        <f>IF(O14="SI", 0, P14*J14)</f>
        <v/>
      </c>
    </row>
    <row r="15">
      <c r="A15" s="2" t="n">
        <v>3035</v>
      </c>
      <c r="B15" s="2" t="n">
        <v>4</v>
      </c>
      <c r="C15" s="2" t="inlineStr">
        <is>
          <t>CL3181</t>
        </is>
      </c>
      <c r="D15" s="3" t="n">
        <v>19</v>
      </c>
      <c r="E15" s="3" t="n">
        <v>20</v>
      </c>
      <c r="F15" s="3" t="n">
        <v>20</v>
      </c>
      <c r="G15" s="3">
        <f>MIN(D15:F15)</f>
        <v/>
      </c>
      <c r="H15" s="3" t="n">
        <v>20</v>
      </c>
      <c r="I15" s="3">
        <f>IF(B15&lt;=2, 4, 3)</f>
        <v/>
      </c>
      <c r="J15" s="3">
        <f>H15-I15</f>
        <v/>
      </c>
      <c r="K15" s="3">
        <f>H15-G15</f>
        <v/>
      </c>
      <c r="L15" s="4" t="n">
        <v>34937</v>
      </c>
      <c r="M15" s="4" t="n">
        <v>29158</v>
      </c>
      <c r="N15" s="4">
        <f>L15-M15</f>
        <v/>
      </c>
      <c r="O15" s="2">
        <f>IF(OR(K15&lt;0.5, N15&lt;500), "SI", "NO")</f>
        <v/>
      </c>
      <c r="P15" s="4">
        <f>IF(O15="SI", 0, N15/K15)</f>
        <v/>
      </c>
      <c r="Q15" s="4">
        <f>IF(O15="SI", 0, P15*J15)</f>
        <v/>
      </c>
    </row>
    <row r="16">
      <c r="A16" s="2" t="n">
        <v>3035</v>
      </c>
      <c r="B16" s="2" t="n">
        <v>5</v>
      </c>
      <c r="C16" s="2" t="inlineStr">
        <is>
          <t>CL3460</t>
        </is>
      </c>
      <c r="D16" s="3" t="n">
        <v>19</v>
      </c>
      <c r="E16" s="3" t="n">
        <v>20</v>
      </c>
      <c r="F16" s="3" t="n">
        <v>20</v>
      </c>
      <c r="G16" s="3">
        <f>MIN(D16:F16)</f>
        <v/>
      </c>
      <c r="H16" s="3" t="n">
        <v>20</v>
      </c>
      <c r="I16" s="3">
        <f>IF(B16&lt;=2, 4, 3)</f>
        <v/>
      </c>
      <c r="J16" s="3">
        <f>H16-I16</f>
        <v/>
      </c>
      <c r="K16" s="3">
        <f>H16-G16</f>
        <v/>
      </c>
      <c r="L16" s="4" t="n">
        <v>34937</v>
      </c>
      <c r="M16" s="4" t="n">
        <v>29158</v>
      </c>
      <c r="N16" s="4">
        <f>L16-M16</f>
        <v/>
      </c>
      <c r="O16" s="2">
        <f>IF(OR(K16&lt;0.5, N16&lt;500), "SI", "NO")</f>
        <v/>
      </c>
      <c r="P16" s="4">
        <f>IF(O16="SI", 0, N16/K16)</f>
        <v/>
      </c>
      <c r="Q16" s="4">
        <f>IF(O16="SI", 0, P16*J16)</f>
        <v/>
      </c>
    </row>
    <row r="17">
      <c r="A17" s="2" t="n">
        <v>3035</v>
      </c>
      <c r="B17" s="2" t="n">
        <v>6</v>
      </c>
      <c r="C17" s="2" t="inlineStr">
        <is>
          <t>CL3312</t>
        </is>
      </c>
      <c r="D17" s="3" t="n">
        <v>19</v>
      </c>
      <c r="E17" s="3" t="n">
        <v>20</v>
      </c>
      <c r="F17" s="3" t="n">
        <v>20</v>
      </c>
      <c r="G17" s="3">
        <f>MIN(D17:F17)</f>
        <v/>
      </c>
      <c r="H17" s="3" t="n">
        <v>20</v>
      </c>
      <c r="I17" s="3">
        <f>IF(B17&lt;=2, 4, 3)</f>
        <v/>
      </c>
      <c r="J17" s="3">
        <f>H17-I17</f>
        <v/>
      </c>
      <c r="K17" s="3">
        <f>H17-G17</f>
        <v/>
      </c>
      <c r="L17" s="4" t="n">
        <v>34937</v>
      </c>
      <c r="M17" s="4" t="n">
        <v>29158</v>
      </c>
      <c r="N17" s="4">
        <f>L17-M17</f>
        <v/>
      </c>
      <c r="O17" s="2">
        <f>IF(OR(K17&lt;0.5, N17&lt;500), "SI", "NO")</f>
        <v/>
      </c>
      <c r="P17" s="4">
        <f>IF(O17="SI", 0, N17/K17)</f>
        <v/>
      </c>
      <c r="Q17" s="4">
        <f>IF(O17="SI", 0, P17*J17)</f>
        <v/>
      </c>
    </row>
    <row r="18">
      <c r="A18" s="2" t="n">
        <v>3035</v>
      </c>
      <c r="B18" s="2" t="n">
        <v>7</v>
      </c>
      <c r="C18" s="2" t="inlineStr">
        <is>
          <t>CL4334</t>
        </is>
      </c>
      <c r="D18" s="3" t="n">
        <v>19</v>
      </c>
      <c r="E18" s="3" t="n">
        <v>20</v>
      </c>
      <c r="F18" s="3" t="n">
        <v>20</v>
      </c>
      <c r="G18" s="3">
        <f>MIN(D18:F18)</f>
        <v/>
      </c>
      <c r="H18" s="3" t="n">
        <v>20</v>
      </c>
      <c r="I18" s="3">
        <f>IF(B18&lt;=2, 4, 3)</f>
        <v/>
      </c>
      <c r="J18" s="3">
        <f>H18-I18</f>
        <v/>
      </c>
      <c r="K18" s="3">
        <f>H18-G18</f>
        <v/>
      </c>
      <c r="L18" s="4" t="n">
        <v>34937</v>
      </c>
      <c r="M18" s="4" t="n">
        <v>29158</v>
      </c>
      <c r="N18" s="4">
        <f>L18-M18</f>
        <v/>
      </c>
      <c r="O18" s="2">
        <f>IF(OR(K18&lt;0.5, N18&lt;500), "SI", "NO")</f>
        <v/>
      </c>
      <c r="P18" s="4">
        <f>IF(O18="SI", 0, N18/K18)</f>
        <v/>
      </c>
      <c r="Q18" s="4">
        <f>IF(O18="SI", 0, P18*J18)</f>
        <v/>
      </c>
    </row>
    <row r="19">
      <c r="A19" s="2" t="n">
        <v>3035</v>
      </c>
      <c r="B19" s="2" t="n">
        <v>8</v>
      </c>
      <c r="C19" s="2" t="inlineStr">
        <is>
          <t>CL4073</t>
        </is>
      </c>
      <c r="D19" s="3" t="n">
        <v>19</v>
      </c>
      <c r="E19" s="3" t="n">
        <v>20</v>
      </c>
      <c r="F19" s="3" t="n">
        <v>20</v>
      </c>
      <c r="G19" s="3">
        <f>MIN(D19:F19)</f>
        <v/>
      </c>
      <c r="H19" s="3" t="n">
        <v>20</v>
      </c>
      <c r="I19" s="3">
        <f>IF(B19&lt;=2, 4, 3)</f>
        <v/>
      </c>
      <c r="J19" s="3">
        <f>H19-I19</f>
        <v/>
      </c>
      <c r="K19" s="3">
        <f>H19-G19</f>
        <v/>
      </c>
      <c r="L19" s="4" t="n">
        <v>34937</v>
      </c>
      <c r="M19" s="4" t="n">
        <v>29158</v>
      </c>
      <c r="N19" s="4">
        <f>L19-M19</f>
        <v/>
      </c>
      <c r="O19" s="2">
        <f>IF(OR(K19&lt;0.5, N19&lt;500), "SI", "NO")</f>
        <v/>
      </c>
      <c r="P19" s="4">
        <f>IF(O19="SI", 0, N19/K19)</f>
        <v/>
      </c>
      <c r="Q19" s="4">
        <f>IF(O19="SI", 0, P19*J19)</f>
        <v/>
      </c>
    </row>
    <row r="20">
      <c r="A20" s="2" t="n">
        <v>3035</v>
      </c>
      <c r="B20" s="2" t="n">
        <v>9</v>
      </c>
      <c r="C20" s="2" t="inlineStr">
        <is>
          <t>CL4214</t>
        </is>
      </c>
      <c r="D20" s="3" t="n">
        <v>19</v>
      </c>
      <c r="E20" s="3" t="n">
        <v>20</v>
      </c>
      <c r="F20" s="3" t="n">
        <v>20</v>
      </c>
      <c r="G20" s="3">
        <f>MIN(D20:F20)</f>
        <v/>
      </c>
      <c r="H20" s="3" t="n">
        <v>20</v>
      </c>
      <c r="I20" s="3">
        <f>IF(B20&lt;=2, 4, 3)</f>
        <v/>
      </c>
      <c r="J20" s="3">
        <f>H20-I20</f>
        <v/>
      </c>
      <c r="K20" s="3">
        <f>H20-G20</f>
        <v/>
      </c>
      <c r="L20" s="4" t="n">
        <v>34937</v>
      </c>
      <c r="M20" s="4" t="n">
        <v>29158</v>
      </c>
      <c r="N20" s="4">
        <f>L20-M20</f>
        <v/>
      </c>
      <c r="O20" s="2">
        <f>IF(OR(K20&lt;0.5, N20&lt;500), "SI", "NO")</f>
        <v/>
      </c>
      <c r="P20" s="4">
        <f>IF(O20="SI", 0, N20/K20)</f>
        <v/>
      </c>
      <c r="Q20" s="4">
        <f>IF(O20="SI", 0, P20*J20)</f>
        <v/>
      </c>
    </row>
    <row r="21">
      <c r="A21" s="2" t="n">
        <v>3035</v>
      </c>
      <c r="B21" s="2" t="n">
        <v>10</v>
      </c>
      <c r="C21" s="2" t="inlineStr">
        <is>
          <t>CL4232</t>
        </is>
      </c>
      <c r="D21" s="3" t="n">
        <v>19</v>
      </c>
      <c r="E21" s="3" t="n">
        <v>20</v>
      </c>
      <c r="F21" s="3" t="n">
        <v>20</v>
      </c>
      <c r="G21" s="3">
        <f>MIN(D21:F21)</f>
        <v/>
      </c>
      <c r="H21" s="3" t="n">
        <v>20</v>
      </c>
      <c r="I21" s="3">
        <f>IF(B21&lt;=2, 4, 3)</f>
        <v/>
      </c>
      <c r="J21" s="3">
        <f>H21-I21</f>
        <v/>
      </c>
      <c r="K21" s="3">
        <f>H21-G21</f>
        <v/>
      </c>
      <c r="L21" s="4" t="n">
        <v>34937</v>
      </c>
      <c r="M21" s="4" t="n">
        <v>29158</v>
      </c>
      <c r="N21" s="4">
        <f>L21-M21</f>
        <v/>
      </c>
      <c r="O21" s="2">
        <f>IF(OR(K21&lt;0.5, N21&lt;500), "SI", "NO")</f>
        <v/>
      </c>
      <c r="P21" s="4">
        <f>IF(O21="SI", 0, N21/K21)</f>
        <v/>
      </c>
      <c r="Q21" s="4">
        <f>IF(O21="SI", 0, P21*J21)</f>
        <v/>
      </c>
    </row>
    <row r="22">
      <c r="A22" s="2" t="n">
        <v>3051</v>
      </c>
      <c r="B22" s="2" t="n">
        <v>1</v>
      </c>
      <c r="C22" s="2" t="inlineStr">
        <is>
          <t>CL4280</t>
        </is>
      </c>
      <c r="D22" s="3" t="n">
        <v>16</v>
      </c>
      <c r="E22" s="3" t="n">
        <v>17</v>
      </c>
      <c r="F22" s="3" t="n">
        <v>17</v>
      </c>
      <c r="G22" s="3">
        <f>MIN(D22:F22)</f>
        <v/>
      </c>
      <c r="H22" s="3" t="n">
        <v>17</v>
      </c>
      <c r="I22" s="3">
        <f>IF(B22&lt;=2, 4, 3)</f>
        <v/>
      </c>
      <c r="J22" s="3">
        <f>H22-I22</f>
        <v/>
      </c>
      <c r="K22" s="3">
        <f>H22-G22</f>
        <v/>
      </c>
      <c r="L22" s="4" t="n">
        <v>354182</v>
      </c>
      <c r="M22" s="4" t="n">
        <v>339423</v>
      </c>
      <c r="N22" s="4">
        <f>L22-M22</f>
        <v/>
      </c>
      <c r="O22" s="2">
        <f>IF(OR(K22&lt;0.5, N22&lt;500), "SI", "NO")</f>
        <v/>
      </c>
      <c r="P22" s="4">
        <f>IF(O22="SI", 0, N22/K22)</f>
        <v/>
      </c>
      <c r="Q22" s="4">
        <f>IF(O22="SI", 0, P22*J22)</f>
        <v/>
      </c>
    </row>
    <row r="23">
      <c r="A23" s="2" t="n">
        <v>3051</v>
      </c>
      <c r="B23" s="2" t="n">
        <v>2</v>
      </c>
      <c r="C23" s="2" t="inlineStr">
        <is>
          <t>CL4281</t>
        </is>
      </c>
      <c r="D23" s="3" t="n">
        <v>16</v>
      </c>
      <c r="E23" s="3" t="n">
        <v>17</v>
      </c>
      <c r="F23" s="3" t="n">
        <v>17</v>
      </c>
      <c r="G23" s="3">
        <f>MIN(D23:F23)</f>
        <v/>
      </c>
      <c r="H23" s="3" t="n">
        <v>17</v>
      </c>
      <c r="I23" s="3">
        <f>IF(B23&lt;=2, 4, 3)</f>
        <v/>
      </c>
      <c r="J23" s="3">
        <f>H23-I23</f>
        <v/>
      </c>
      <c r="K23" s="3">
        <f>H23-G23</f>
        <v/>
      </c>
      <c r="L23" s="4" t="n">
        <v>354182</v>
      </c>
      <c r="M23" s="4" t="n">
        <v>339423</v>
      </c>
      <c r="N23" s="4">
        <f>L23-M23</f>
        <v/>
      </c>
      <c r="O23" s="2">
        <f>IF(OR(K23&lt;0.5, N23&lt;500), "SI", "NO")</f>
        <v/>
      </c>
      <c r="P23" s="4">
        <f>IF(O23="SI", 0, N23/K23)</f>
        <v/>
      </c>
      <c r="Q23" s="4">
        <f>IF(O23="SI", 0, P23*J23)</f>
        <v/>
      </c>
    </row>
    <row r="24">
      <c r="A24" s="2" t="n">
        <v>3051</v>
      </c>
      <c r="B24" s="2" t="n">
        <v>3</v>
      </c>
      <c r="C24" s="2" t="inlineStr">
        <is>
          <t>CL4282</t>
        </is>
      </c>
      <c r="D24" s="3" t="n">
        <v>16</v>
      </c>
      <c r="E24" s="3" t="n">
        <v>17</v>
      </c>
      <c r="F24" s="3" t="n">
        <v>17</v>
      </c>
      <c r="G24" s="3">
        <f>MIN(D24:F24)</f>
        <v/>
      </c>
      <c r="H24" s="3" t="n">
        <v>17</v>
      </c>
      <c r="I24" s="3">
        <f>IF(B24&lt;=2, 4, 3)</f>
        <v/>
      </c>
      <c r="J24" s="3">
        <f>H24-I24</f>
        <v/>
      </c>
      <c r="K24" s="3">
        <f>H24-G24</f>
        <v/>
      </c>
      <c r="L24" s="4" t="n">
        <v>354182</v>
      </c>
      <c r="M24" s="4" t="n">
        <v>339423</v>
      </c>
      <c r="N24" s="4">
        <f>L24-M24</f>
        <v/>
      </c>
      <c r="O24" s="2">
        <f>IF(OR(K24&lt;0.5, N24&lt;500), "SI", "NO")</f>
        <v/>
      </c>
      <c r="P24" s="4">
        <f>IF(O24="SI", 0, N24/K24)</f>
        <v/>
      </c>
      <c r="Q24" s="4">
        <f>IF(O24="SI", 0, P24*J24)</f>
        <v/>
      </c>
    </row>
    <row r="25">
      <c r="A25" s="2" t="n">
        <v>3051</v>
      </c>
      <c r="B25" s="2" t="n">
        <v>4</v>
      </c>
      <c r="C25" s="2" t="inlineStr">
        <is>
          <t>CL4283</t>
        </is>
      </c>
      <c r="D25" s="3" t="n">
        <v>16</v>
      </c>
      <c r="E25" s="3" t="n">
        <v>17</v>
      </c>
      <c r="F25" s="3" t="n">
        <v>17</v>
      </c>
      <c r="G25" s="3">
        <f>MIN(D25:F25)</f>
        <v/>
      </c>
      <c r="H25" s="3" t="n">
        <v>17</v>
      </c>
      <c r="I25" s="3">
        <f>IF(B25&lt;=2, 4, 3)</f>
        <v/>
      </c>
      <c r="J25" s="3">
        <f>H25-I25</f>
        <v/>
      </c>
      <c r="K25" s="3">
        <f>H25-G25</f>
        <v/>
      </c>
      <c r="L25" s="4" t="n">
        <v>354182</v>
      </c>
      <c r="M25" s="4" t="n">
        <v>339423</v>
      </c>
      <c r="N25" s="4">
        <f>L25-M25</f>
        <v/>
      </c>
      <c r="O25" s="2">
        <f>IF(OR(K25&lt;0.5, N25&lt;500), "SI", "NO")</f>
        <v/>
      </c>
      <c r="P25" s="4">
        <f>IF(O25="SI", 0, N25/K25)</f>
        <v/>
      </c>
      <c r="Q25" s="4">
        <f>IF(O25="SI", 0, P25*J25)</f>
        <v/>
      </c>
    </row>
    <row r="26">
      <c r="A26" s="2" t="n">
        <v>3051</v>
      </c>
      <c r="B26" s="2" t="n">
        <v>5</v>
      </c>
      <c r="C26" s="2" t="inlineStr">
        <is>
          <t>CL3538</t>
        </is>
      </c>
      <c r="D26" s="3" t="n">
        <v>19</v>
      </c>
      <c r="E26" s="3" t="n">
        <v>20</v>
      </c>
      <c r="F26" s="3" t="n">
        <v>20</v>
      </c>
      <c r="G26" s="3">
        <f>MIN(D26:F26)</f>
        <v/>
      </c>
      <c r="H26" s="3" t="n">
        <v>20</v>
      </c>
      <c r="I26" s="3">
        <f>IF(B26&lt;=2, 4, 3)</f>
        <v/>
      </c>
      <c r="J26" s="3">
        <f>H26-I26</f>
        <v/>
      </c>
      <c r="K26" s="3">
        <f>H26-G26</f>
        <v/>
      </c>
      <c r="L26" s="4" t="n">
        <v>354182</v>
      </c>
      <c r="M26" s="4" t="n">
        <v>353004</v>
      </c>
      <c r="N26" s="4">
        <f>L26-M26</f>
        <v/>
      </c>
      <c r="O26" s="2">
        <f>IF(OR(K26&lt;0.5, N26&lt;500), "SI", "NO")</f>
        <v/>
      </c>
      <c r="P26" s="4">
        <f>IF(O26="SI", 0, N26/K26)</f>
        <v/>
      </c>
      <c r="Q26" s="4">
        <f>IF(O26="SI", 0, P26*J26)</f>
        <v/>
      </c>
    </row>
    <row r="27">
      <c r="A27" s="2" t="n">
        <v>3051</v>
      </c>
      <c r="B27" s="2" t="n">
        <v>6</v>
      </c>
      <c r="C27" s="2" t="inlineStr">
        <is>
          <t>CL4039</t>
        </is>
      </c>
      <c r="D27" s="3" t="n">
        <v>19</v>
      </c>
      <c r="E27" s="3" t="n">
        <v>20</v>
      </c>
      <c r="F27" s="3" t="n">
        <v>20</v>
      </c>
      <c r="G27" s="3">
        <f>MIN(D27:F27)</f>
        <v/>
      </c>
      <c r="H27" s="3" t="n">
        <v>20</v>
      </c>
      <c r="I27" s="3">
        <f>IF(B27&lt;=2, 4, 3)</f>
        <v/>
      </c>
      <c r="J27" s="3">
        <f>H27-I27</f>
        <v/>
      </c>
      <c r="K27" s="3">
        <f>H27-G27</f>
        <v/>
      </c>
      <c r="L27" s="4" t="n">
        <v>354182</v>
      </c>
      <c r="M27" s="4" t="n">
        <v>353004</v>
      </c>
      <c r="N27" s="4">
        <f>L27-M27</f>
        <v/>
      </c>
      <c r="O27" s="2">
        <f>IF(OR(K27&lt;0.5, N27&lt;500), "SI", "NO")</f>
        <v/>
      </c>
      <c r="P27" s="4">
        <f>IF(O27="SI", 0, N27/K27)</f>
        <v/>
      </c>
      <c r="Q27" s="4">
        <f>IF(O27="SI", 0, P27*J27)</f>
        <v/>
      </c>
    </row>
    <row r="28">
      <c r="A28" s="2" t="n">
        <v>3051</v>
      </c>
      <c r="B28" s="2" t="n">
        <v>7</v>
      </c>
      <c r="C28" s="2" t="inlineStr">
        <is>
          <t>CL4037</t>
        </is>
      </c>
      <c r="D28" s="3" t="n">
        <v>19</v>
      </c>
      <c r="E28" s="3" t="n">
        <v>20</v>
      </c>
      <c r="F28" s="3" t="n">
        <v>20</v>
      </c>
      <c r="G28" s="3">
        <f>MIN(D28:F28)</f>
        <v/>
      </c>
      <c r="H28" s="3" t="n">
        <v>20</v>
      </c>
      <c r="I28" s="3">
        <f>IF(B28&lt;=2, 4, 3)</f>
        <v/>
      </c>
      <c r="J28" s="3">
        <f>H28-I28</f>
        <v/>
      </c>
      <c r="K28" s="3">
        <f>H28-G28</f>
        <v/>
      </c>
      <c r="L28" s="4" t="n">
        <v>354182</v>
      </c>
      <c r="M28" s="4" t="n">
        <v>353004</v>
      </c>
      <c r="N28" s="4">
        <f>L28-M28</f>
        <v/>
      </c>
      <c r="O28" s="2">
        <f>IF(OR(K28&lt;0.5, N28&lt;500), "SI", "NO")</f>
        <v/>
      </c>
      <c r="P28" s="4">
        <f>IF(O28="SI", 0, N28/K28)</f>
        <v/>
      </c>
      <c r="Q28" s="4">
        <f>IF(O28="SI", 0, P28*J28)</f>
        <v/>
      </c>
    </row>
    <row r="29">
      <c r="A29" s="2" t="n">
        <v>3051</v>
      </c>
      <c r="B29" s="2" t="n">
        <v>8</v>
      </c>
      <c r="C29" s="2" t="inlineStr">
        <is>
          <t>CL3885</t>
        </is>
      </c>
      <c r="D29" s="3" t="n">
        <v>19</v>
      </c>
      <c r="E29" s="3" t="n">
        <v>20</v>
      </c>
      <c r="F29" s="3" t="n">
        <v>20</v>
      </c>
      <c r="G29" s="3">
        <f>MIN(D29:F29)</f>
        <v/>
      </c>
      <c r="H29" s="3" t="n">
        <v>20</v>
      </c>
      <c r="I29" s="3">
        <f>IF(B29&lt;=2, 4, 3)</f>
        <v/>
      </c>
      <c r="J29" s="3">
        <f>H29-I29</f>
        <v/>
      </c>
      <c r="K29" s="3">
        <f>H29-G29</f>
        <v/>
      </c>
      <c r="L29" s="4" t="n">
        <v>354182</v>
      </c>
      <c r="M29" s="4" t="n">
        <v>353004</v>
      </c>
      <c r="N29" s="4">
        <f>L29-M29</f>
        <v/>
      </c>
      <c r="O29" s="2">
        <f>IF(OR(K29&lt;0.5, N29&lt;500), "SI", "NO")</f>
        <v/>
      </c>
      <c r="P29" s="4">
        <f>IF(O29="SI", 0, N29/K29)</f>
        <v/>
      </c>
      <c r="Q29" s="4">
        <f>IF(O29="SI", 0, P29*J29)</f>
        <v/>
      </c>
    </row>
    <row r="30">
      <c r="A30" s="2" t="n">
        <v>3051</v>
      </c>
      <c r="B30" s="2" t="n">
        <v>9</v>
      </c>
      <c r="C30" s="2" t="inlineStr">
        <is>
          <t>CL3678</t>
        </is>
      </c>
      <c r="D30" s="3" t="n">
        <v>19</v>
      </c>
      <c r="E30" s="3" t="n">
        <v>20</v>
      </c>
      <c r="F30" s="3" t="n">
        <v>20</v>
      </c>
      <c r="G30" s="3">
        <f>MIN(D30:F30)</f>
        <v/>
      </c>
      <c r="H30" s="3" t="n">
        <v>20</v>
      </c>
      <c r="I30" s="3">
        <f>IF(B30&lt;=2, 4, 3)</f>
        <v/>
      </c>
      <c r="J30" s="3">
        <f>H30-I30</f>
        <v/>
      </c>
      <c r="K30" s="3">
        <f>H30-G30</f>
        <v/>
      </c>
      <c r="L30" s="4" t="n">
        <v>354182</v>
      </c>
      <c r="M30" s="4" t="n">
        <v>353004</v>
      </c>
      <c r="N30" s="4">
        <f>L30-M30</f>
        <v/>
      </c>
      <c r="O30" s="2">
        <f>IF(OR(K30&lt;0.5, N30&lt;500), "SI", "NO")</f>
        <v/>
      </c>
      <c r="P30" s="4">
        <f>IF(O30="SI", 0, N30/K30)</f>
        <v/>
      </c>
      <c r="Q30" s="4">
        <f>IF(O30="SI", 0, P30*J30)</f>
        <v/>
      </c>
    </row>
    <row r="31">
      <c r="A31" s="2" t="n">
        <v>3051</v>
      </c>
      <c r="B31" s="2" t="n">
        <v>10</v>
      </c>
      <c r="C31" s="2" t="inlineStr">
        <is>
          <t>CL4034</t>
        </is>
      </c>
      <c r="D31" s="3" t="n">
        <v>19</v>
      </c>
      <c r="E31" s="3" t="n">
        <v>20</v>
      </c>
      <c r="F31" s="3" t="n">
        <v>20</v>
      </c>
      <c r="G31" s="3">
        <f>MIN(D31:F31)</f>
        <v/>
      </c>
      <c r="H31" s="3" t="n">
        <v>20</v>
      </c>
      <c r="I31" s="3">
        <f>IF(B31&lt;=2, 4, 3)</f>
        <v/>
      </c>
      <c r="J31" s="3">
        <f>H31-I31</f>
        <v/>
      </c>
      <c r="K31" s="3">
        <f>H31-G31</f>
        <v/>
      </c>
      <c r="L31" s="4" t="n">
        <v>354182</v>
      </c>
      <c r="M31" s="4" t="n">
        <v>353004</v>
      </c>
      <c r="N31" s="4">
        <f>L31-M31</f>
        <v/>
      </c>
      <c r="O31" s="2">
        <f>IF(OR(K31&lt;0.5, N31&lt;500), "SI", "NO")</f>
        <v/>
      </c>
      <c r="P31" s="4">
        <f>IF(O31="SI", 0, N31/K31)</f>
        <v/>
      </c>
      <c r="Q31" s="4">
        <f>IF(O31="SI", 0, P31*J31)</f>
        <v/>
      </c>
    </row>
    <row r="32">
      <c r="A32" s="2" t="n">
        <v>3051</v>
      </c>
      <c r="B32" s="2" t="n">
        <v>11</v>
      </c>
      <c r="C32" s="2" t="inlineStr">
        <is>
          <t>CL5455</t>
        </is>
      </c>
      <c r="D32" s="3" t="n">
        <v>19</v>
      </c>
      <c r="E32" s="3" t="n">
        <v>20</v>
      </c>
      <c r="F32" s="3" t="n">
        <v>20</v>
      </c>
      <c r="G32" s="3">
        <f>MIN(D32:F32)</f>
        <v/>
      </c>
      <c r="H32" s="3" t="n">
        <v>20</v>
      </c>
      <c r="I32" s="3">
        <f>IF(B32&lt;=2, 4, 3)</f>
        <v/>
      </c>
      <c r="J32" s="3">
        <f>H32-I32</f>
        <v/>
      </c>
      <c r="K32" s="3">
        <f>H32-G32</f>
        <v/>
      </c>
      <c r="L32" s="4" t="n">
        <v>354182</v>
      </c>
      <c r="M32" s="4" t="n">
        <v>353004</v>
      </c>
      <c r="N32" s="4">
        <f>L32-M32</f>
        <v/>
      </c>
      <c r="O32" s="2">
        <f>IF(OR(K32&lt;0.5, N32&lt;500), "SI", "NO")</f>
        <v/>
      </c>
      <c r="P32" s="4">
        <f>IF(O32="SI", 0, N32/K32)</f>
        <v/>
      </c>
      <c r="Q32" s="4">
        <f>IF(O32="SI", 0, P32*J32)</f>
        <v/>
      </c>
    </row>
    <row r="33">
      <c r="A33" s="2" t="n">
        <v>3051</v>
      </c>
      <c r="B33" s="2" t="n">
        <v>12</v>
      </c>
      <c r="C33" s="2" t="inlineStr">
        <is>
          <t>CL4033</t>
        </is>
      </c>
      <c r="D33" s="3" t="n">
        <v>19</v>
      </c>
      <c r="E33" s="3" t="n">
        <v>20</v>
      </c>
      <c r="F33" s="3" t="n">
        <v>20</v>
      </c>
      <c r="G33" s="3">
        <f>MIN(D33:F33)</f>
        <v/>
      </c>
      <c r="H33" s="3" t="n">
        <v>20</v>
      </c>
      <c r="I33" s="3">
        <f>IF(B33&lt;=2, 4, 3)</f>
        <v/>
      </c>
      <c r="J33" s="3">
        <f>H33-I33</f>
        <v/>
      </c>
      <c r="K33" s="3">
        <f>H33-G33</f>
        <v/>
      </c>
      <c r="L33" s="4" t="n">
        <v>354182</v>
      </c>
      <c r="M33" s="4" t="n">
        <v>353004</v>
      </c>
      <c r="N33" s="4">
        <f>L33-M33</f>
        <v/>
      </c>
      <c r="O33" s="2">
        <f>IF(OR(K33&lt;0.5, N33&lt;500), "SI", "NO")</f>
        <v/>
      </c>
      <c r="P33" s="4">
        <f>IF(O33="SI", 0, N33/K33)</f>
        <v/>
      </c>
      <c r="Q33" s="4">
        <f>IF(O33="SI", 0, P33*J33)</f>
        <v/>
      </c>
    </row>
    <row r="34">
      <c r="A34" s="2" t="n">
        <v>3023</v>
      </c>
      <c r="B34" s="2" t="n">
        <v>3</v>
      </c>
      <c r="C34" s="2" t="inlineStr">
        <is>
          <t>CL3761</t>
        </is>
      </c>
      <c r="D34" s="3" t="n">
        <v>19</v>
      </c>
      <c r="E34" s="3" t="n">
        <v>20</v>
      </c>
      <c r="F34" s="3" t="n">
        <v>20</v>
      </c>
      <c r="G34" s="3">
        <f>MIN(D34:F34)</f>
        <v/>
      </c>
      <c r="H34" s="3" t="n">
        <v>20</v>
      </c>
      <c r="I34" s="3">
        <f>IF(B34&lt;=2, 4, 3)</f>
        <v/>
      </c>
      <c r="J34" s="3">
        <f>H34-I34</f>
        <v/>
      </c>
      <c r="K34" s="3">
        <f>H34-G34</f>
        <v/>
      </c>
      <c r="L34" s="4" t="n">
        <v>321721</v>
      </c>
      <c r="M34" s="4" t="n">
        <v>316126</v>
      </c>
      <c r="N34" s="4">
        <f>L34-M34</f>
        <v/>
      </c>
      <c r="O34" s="2">
        <f>IF(OR(K34&lt;0.5, N34&lt;500), "SI", "NO")</f>
        <v/>
      </c>
      <c r="P34" s="4">
        <f>IF(O34="SI", 0, N34/K34)</f>
        <v/>
      </c>
      <c r="Q34" s="4">
        <f>IF(O34="SI", 0, P34*J34)</f>
        <v/>
      </c>
    </row>
    <row r="35">
      <c r="A35" s="2" t="n">
        <v>3023</v>
      </c>
      <c r="B35" s="2" t="n">
        <v>4</v>
      </c>
      <c r="C35" s="2" t="inlineStr">
        <is>
          <t>CL4182</t>
        </is>
      </c>
      <c r="D35" s="3" t="n">
        <v>19</v>
      </c>
      <c r="E35" s="3" t="n">
        <v>20</v>
      </c>
      <c r="F35" s="3" t="n">
        <v>20</v>
      </c>
      <c r="G35" s="3">
        <f>MIN(D35:F35)</f>
        <v/>
      </c>
      <c r="H35" s="3" t="n">
        <v>20</v>
      </c>
      <c r="I35" s="3">
        <f>IF(B35&lt;=2, 4, 3)</f>
        <v/>
      </c>
      <c r="J35" s="3">
        <f>H35-I35</f>
        <v/>
      </c>
      <c r="K35" s="3">
        <f>H35-G35</f>
        <v/>
      </c>
      <c r="L35" s="4" t="n">
        <v>321721</v>
      </c>
      <c r="M35" s="4" t="n">
        <v>316126</v>
      </c>
      <c r="N35" s="4">
        <f>L35-M35</f>
        <v/>
      </c>
      <c r="O35" s="2">
        <f>IF(OR(K35&lt;0.5, N35&lt;500), "SI", "NO")</f>
        <v/>
      </c>
      <c r="P35" s="4">
        <f>IF(O35="SI", 0, N35/K35)</f>
        <v/>
      </c>
      <c r="Q35" s="4">
        <f>IF(O35="SI", 0, P35*J35)</f>
        <v/>
      </c>
    </row>
    <row r="36">
      <c r="A36" s="2" t="n">
        <v>3023</v>
      </c>
      <c r="B36" s="2" t="n">
        <v>5</v>
      </c>
      <c r="C36" s="2" t="inlineStr">
        <is>
          <t>CL4155</t>
        </is>
      </c>
      <c r="D36" s="3" t="n">
        <v>19</v>
      </c>
      <c r="E36" s="3" t="n">
        <v>20</v>
      </c>
      <c r="F36" s="3" t="n">
        <v>20</v>
      </c>
      <c r="G36" s="3">
        <f>MIN(D36:F36)</f>
        <v/>
      </c>
      <c r="H36" s="3" t="n">
        <v>20</v>
      </c>
      <c r="I36" s="3">
        <f>IF(B36&lt;=2, 4, 3)</f>
        <v/>
      </c>
      <c r="J36" s="3">
        <f>H36-I36</f>
        <v/>
      </c>
      <c r="K36" s="3">
        <f>H36-G36</f>
        <v/>
      </c>
      <c r="L36" s="4" t="n">
        <v>321721</v>
      </c>
      <c r="M36" s="4" t="n">
        <v>316126</v>
      </c>
      <c r="N36" s="4">
        <f>L36-M36</f>
        <v/>
      </c>
      <c r="O36" s="2">
        <f>IF(OR(K36&lt;0.5, N36&lt;500), "SI", "NO")</f>
        <v/>
      </c>
      <c r="P36" s="4">
        <f>IF(O36="SI", 0, N36/K36)</f>
        <v/>
      </c>
      <c r="Q36" s="4">
        <f>IF(O36="SI", 0, P36*J36)</f>
        <v/>
      </c>
    </row>
    <row r="37">
      <c r="A37" s="2" t="n">
        <v>3023</v>
      </c>
      <c r="B37" s="2" t="n">
        <v>6</v>
      </c>
      <c r="C37" s="2" t="inlineStr">
        <is>
          <t>CL3604</t>
        </is>
      </c>
      <c r="D37" s="3" t="n">
        <v>19</v>
      </c>
      <c r="E37" s="3" t="n">
        <v>20</v>
      </c>
      <c r="F37" s="3" t="n">
        <v>20</v>
      </c>
      <c r="G37" s="3">
        <f>MIN(D37:F37)</f>
        <v/>
      </c>
      <c r="H37" s="3" t="n">
        <v>20</v>
      </c>
      <c r="I37" s="3">
        <f>IF(B37&lt;=2, 4, 3)</f>
        <v/>
      </c>
      <c r="J37" s="3">
        <f>H37-I37</f>
        <v/>
      </c>
      <c r="K37" s="3">
        <f>H37-G37</f>
        <v/>
      </c>
      <c r="L37" s="4" t="n">
        <v>321721</v>
      </c>
      <c r="M37" s="4" t="n">
        <v>316126</v>
      </c>
      <c r="N37" s="4">
        <f>L37-M37</f>
        <v/>
      </c>
      <c r="O37" s="2">
        <f>IF(OR(K37&lt;0.5, N37&lt;500), "SI", "NO")</f>
        <v/>
      </c>
      <c r="P37" s="4">
        <f>IF(O37="SI", 0, N37/K37)</f>
        <v/>
      </c>
      <c r="Q37" s="4">
        <f>IF(O37="SI", 0, P37*J37)</f>
        <v/>
      </c>
    </row>
    <row r="38">
      <c r="A38" s="2" t="n">
        <v>3023</v>
      </c>
      <c r="B38" s="2" t="n">
        <v>7</v>
      </c>
      <c r="C38" s="2" t="inlineStr">
        <is>
          <t>CL4168</t>
        </is>
      </c>
      <c r="D38" s="3" t="n">
        <v>19</v>
      </c>
      <c r="E38" s="3" t="n">
        <v>20</v>
      </c>
      <c r="F38" s="3" t="n">
        <v>20</v>
      </c>
      <c r="G38" s="3">
        <f>MIN(D38:F38)</f>
        <v/>
      </c>
      <c r="H38" s="3" t="n">
        <v>20</v>
      </c>
      <c r="I38" s="3">
        <f>IF(B38&lt;=2, 4, 3)</f>
        <v/>
      </c>
      <c r="J38" s="3">
        <f>H38-I38</f>
        <v/>
      </c>
      <c r="K38" s="3">
        <f>H38-G38</f>
        <v/>
      </c>
      <c r="L38" s="4" t="n">
        <v>321721</v>
      </c>
      <c r="M38" s="4" t="n">
        <v>316126</v>
      </c>
      <c r="N38" s="4">
        <f>L38-M38</f>
        <v/>
      </c>
      <c r="O38" s="2">
        <f>IF(OR(K38&lt;0.5, N38&lt;500), "SI", "NO")</f>
        <v/>
      </c>
      <c r="P38" s="4">
        <f>IF(O38="SI", 0, N38/K38)</f>
        <v/>
      </c>
      <c r="Q38" s="4">
        <f>IF(O38="SI", 0, P38*J38)</f>
        <v/>
      </c>
    </row>
    <row r="39">
      <c r="A39" s="2" t="n">
        <v>3023</v>
      </c>
      <c r="B39" s="2" t="n">
        <v>8</v>
      </c>
      <c r="C39" s="2" t="inlineStr">
        <is>
          <t>CL4056</t>
        </is>
      </c>
      <c r="D39" s="3" t="n">
        <v>19</v>
      </c>
      <c r="E39" s="3" t="n">
        <v>20</v>
      </c>
      <c r="F39" s="3" t="n">
        <v>20</v>
      </c>
      <c r="G39" s="3">
        <f>MIN(D39:F39)</f>
        <v/>
      </c>
      <c r="H39" s="3" t="n">
        <v>20</v>
      </c>
      <c r="I39" s="3">
        <f>IF(B39&lt;=2, 4, 3)</f>
        <v/>
      </c>
      <c r="J39" s="3">
        <f>H39-I39</f>
        <v/>
      </c>
      <c r="K39" s="3">
        <f>H39-G39</f>
        <v/>
      </c>
      <c r="L39" s="4" t="n">
        <v>321721</v>
      </c>
      <c r="M39" s="4" t="n">
        <v>316126</v>
      </c>
      <c r="N39" s="4">
        <f>L39-M39</f>
        <v/>
      </c>
      <c r="O39" s="2">
        <f>IF(OR(K39&lt;0.5, N39&lt;500), "SI", "NO")</f>
        <v/>
      </c>
      <c r="P39" s="4">
        <f>IF(O39="SI", 0, N39/K39)</f>
        <v/>
      </c>
      <c r="Q39" s="4">
        <f>IF(O39="SI", 0, P39*J39)</f>
        <v/>
      </c>
    </row>
    <row r="40">
      <c r="A40" s="2" t="n">
        <v>3023</v>
      </c>
      <c r="B40" s="2" t="n">
        <v>9</v>
      </c>
      <c r="C40" s="2" t="inlineStr">
        <is>
          <t>CL3548</t>
        </is>
      </c>
      <c r="D40" s="3" t="n">
        <v>19</v>
      </c>
      <c r="E40" s="3" t="n">
        <v>20</v>
      </c>
      <c r="F40" s="3" t="n">
        <v>20</v>
      </c>
      <c r="G40" s="3">
        <f>MIN(D40:F40)</f>
        <v/>
      </c>
      <c r="H40" s="3" t="n">
        <v>20</v>
      </c>
      <c r="I40" s="3">
        <f>IF(B40&lt;=2, 4, 3)</f>
        <v/>
      </c>
      <c r="J40" s="3">
        <f>H40-I40</f>
        <v/>
      </c>
      <c r="K40" s="3">
        <f>H40-G40</f>
        <v/>
      </c>
      <c r="L40" s="4" t="n">
        <v>321721</v>
      </c>
      <c r="M40" s="4" t="n">
        <v>316126</v>
      </c>
      <c r="N40" s="4">
        <f>L40-M40</f>
        <v/>
      </c>
      <c r="O40" s="2">
        <f>IF(OR(K40&lt;0.5, N40&lt;500), "SI", "NO")</f>
        <v/>
      </c>
      <c r="P40" s="4">
        <f>IF(O40="SI", 0, N40/K40)</f>
        <v/>
      </c>
      <c r="Q40" s="4">
        <f>IF(O40="SI", 0, P40*J40)</f>
        <v/>
      </c>
    </row>
    <row r="41">
      <c r="A41" s="2" t="n">
        <v>3023</v>
      </c>
      <c r="B41" s="2" t="n">
        <v>10</v>
      </c>
      <c r="C41" s="2" t="inlineStr">
        <is>
          <t>CL4565</t>
        </is>
      </c>
      <c r="D41" s="3" t="n">
        <v>19</v>
      </c>
      <c r="E41" s="3" t="n">
        <v>20</v>
      </c>
      <c r="F41" s="3" t="n">
        <v>20</v>
      </c>
      <c r="G41" s="3">
        <f>MIN(D41:F41)</f>
        <v/>
      </c>
      <c r="H41" s="3" t="n">
        <v>20</v>
      </c>
      <c r="I41" s="3">
        <f>IF(B41&lt;=2, 4, 3)</f>
        <v/>
      </c>
      <c r="J41" s="3">
        <f>H41-I41</f>
        <v/>
      </c>
      <c r="K41" s="3">
        <f>H41-G41</f>
        <v/>
      </c>
      <c r="L41" s="4" t="n">
        <v>321721</v>
      </c>
      <c r="M41" s="4" t="n">
        <v>316126</v>
      </c>
      <c r="N41" s="4">
        <f>L41-M41</f>
        <v/>
      </c>
      <c r="O41" s="2">
        <f>IF(OR(K41&lt;0.5, N41&lt;500), "SI", "NO")</f>
        <v/>
      </c>
      <c r="P41" s="4">
        <f>IF(O41="SI", 0, N41/K41)</f>
        <v/>
      </c>
      <c r="Q41" s="4">
        <f>IF(O41="SI", 0, P41*J41)</f>
        <v/>
      </c>
    </row>
    <row r="42">
      <c r="A42" s="5" t="inlineStr">
        <is>
          <t>PROMEDIO GENERAL FLOTA (TARJETA DASHBOARD)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7">
        <f>AVERAGE(N2:N41)</f>
        <v/>
      </c>
      <c r="O42" s="6" t="n"/>
      <c r="P42" s="6" t="n"/>
      <c r="Q42" s="8">
        <f>AVERAGEIF(O2:O41, "NO", Q2:Q41)</f>
        <v/>
      </c>
    </row>
  </sheetData>
  <mergeCells count="1">
    <mergeCell ref="A42:M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2026-10-21T03:22:31Z</dcterms:created>
  <dcterms:modified xmlns:dcterms="http://purl.org/dc/terms/" xmlns:xsi="http://www.w3.org/2001/XMLSchema-instance" xsi:type="dcterms:W3CDTF">2026-10-21T03:22:31Z</dcterms:modified>
</cp:coreProperties>
</file>